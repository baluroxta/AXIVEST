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isk Rankings" sheetId="2" state="visible" r:id="rId2"/>
    <sheet name="Macro Stress Testing" sheetId="3" state="visible" r:id="rId3"/>
    <sheet name="Options Intelligence" sheetId="4" state="visible" r:id="rId4"/>
    <sheet name="Correlation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0"/>
    <numFmt numFmtId="166" formatCode="₹#,##0.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718096"/>
      <sz val="9"/>
    </font>
    <font>
      <name val="Segoe UI"/>
      <b val="1"/>
      <color rgb="001B365D"/>
      <sz val="16"/>
    </font>
    <font>
      <name val="Segoe UI"/>
      <b val="1"/>
      <color rgb="001B365D"/>
      <sz val="13"/>
    </font>
    <font>
      <name val="Segoe UI"/>
      <b val="1"/>
      <color rgb="00FFFFFF"/>
      <sz val="11"/>
    </font>
    <font>
      <name val="Segoe UI"/>
      <color rgb="002D3748"/>
      <sz val="10"/>
    </font>
    <font>
      <name val="Segoe UI"/>
      <b val="1"/>
      <color rgb="001A202C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4C7E"/>
        <bgColor rgb="002B4C7E"/>
      </patternFill>
    </fill>
    <fill>
      <patternFill patternType="solid">
        <fgColor rgb="00F7FAFC"/>
        <bgColor rgb="00F7FAFC"/>
      </patternFill>
    </fill>
    <fill>
      <patternFill patternType="solid">
        <fgColor rgb="00F8FAFC"/>
        <bgColor rgb="00F8FAFC"/>
      </patternFill>
    </fill>
    <fill>
      <patternFill patternType="solid">
        <fgColor rgb="00EDF2F7"/>
        <bgColor rgb="00EDF2F7"/>
      </patternFill>
    </fill>
    <fill>
      <patternFill patternType="solid">
        <fgColor rgb="00FFF5F5"/>
        <bgColor rgb="00FFF5F5"/>
      </patternFill>
    </fill>
    <fill>
      <patternFill patternType="solid">
        <fgColor rgb="00CBD5E0"/>
        <bgColor rgb="00CBD5E0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</border>
    <border>
      <left style="thin">
        <color rgb="00CBD5E0"/>
      </left>
      <right style="thin">
        <color rgb="00CBD5E0"/>
      </right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" fontId="4" fillId="4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3" applyAlignment="1" pivotButton="0" quotePrefix="0" xfId="0">
      <alignment horizontal="center" vertical="center"/>
    </xf>
    <xf numFmtId="0" fontId="7" fillId="0" borderId="3" pivotButton="0" quotePrefix="0" xfId="0"/>
    <xf numFmtId="164" fontId="7" fillId="0" borderId="3" applyAlignment="1" pivotButton="0" quotePrefix="0" xfId="0">
      <alignment horizontal="right" vertical="center"/>
    </xf>
    <xf numFmtId="0" fontId="7" fillId="0" borderId="3" applyAlignment="1" pivotButton="0" quotePrefix="0" xfId="0">
      <alignment horizontal="center" vertical="center"/>
    </xf>
    <xf numFmtId="0" fontId="7" fillId="5" borderId="3" pivotButton="0" quotePrefix="0" xfId="0"/>
    <xf numFmtId="164" fontId="7" fillId="5" borderId="3" applyAlignment="1" pivotButton="0" quotePrefix="0" xfId="0">
      <alignment horizontal="right" vertical="center"/>
    </xf>
    <xf numFmtId="0" fontId="7" fillId="5" borderId="3" applyAlignment="1" pivotButton="0" quotePrefix="0" xfId="0">
      <alignment horizontal="center" vertical="center"/>
    </xf>
    <xf numFmtId="0" fontId="8" fillId="0" borderId="3" pivotButton="0" quotePrefix="0" xfId="0"/>
    <xf numFmtId="164" fontId="8" fillId="0" borderId="3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/>
    </xf>
    <xf numFmtId="0" fontId="8" fillId="0" borderId="0" pivotButton="0" quotePrefix="0" xfId="0"/>
    <xf numFmtId="164" fontId="8" fillId="0" borderId="0" pivotButton="0" quotePrefix="0" xfId="0"/>
    <xf numFmtId="164" fontId="0" fillId="0" borderId="3" applyAlignment="1" pivotButton="0" quotePrefix="0" xfId="0">
      <alignment horizontal="right" vertical="center"/>
    </xf>
    <xf numFmtId="0" fontId="8" fillId="5" borderId="3" pivotButton="0" quotePrefix="0" xfId="0"/>
    <xf numFmtId="164" fontId="0" fillId="5" borderId="3" applyAlignment="1" pivotButton="0" quotePrefix="0" xfId="0">
      <alignment horizontal="right" vertical="center"/>
    </xf>
    <xf numFmtId="164" fontId="8" fillId="6" borderId="3" applyAlignment="1" pivotButton="0" quotePrefix="0" xfId="0">
      <alignment horizontal="right" vertical="center"/>
    </xf>
    <xf numFmtId="164" fontId="8" fillId="7" borderId="3" applyAlignment="1" pivotButton="0" quotePrefix="0" xfId="0">
      <alignment horizontal="right" vertical="center"/>
    </xf>
    <xf numFmtId="165" fontId="7" fillId="0" borderId="3" applyAlignment="1" pivotButton="0" quotePrefix="0" xfId="0">
      <alignment horizontal="right" vertical="center"/>
    </xf>
    <xf numFmtId="165" fontId="8" fillId="0" borderId="3" applyAlignment="1" pivotButton="0" quotePrefix="0" xfId="0">
      <alignment horizontal="right" vertical="center"/>
    </xf>
    <xf numFmtId="166" fontId="0" fillId="0" borderId="3" applyAlignment="1" pivotButton="0" quotePrefix="0" xfId="0">
      <alignment horizontal="right" vertical="center"/>
    </xf>
    <xf numFmtId="166" fontId="8" fillId="0" borderId="3" applyAlignment="1" pivotButton="0" quotePrefix="0" xfId="0">
      <alignment horizontal="right" vertical="center"/>
    </xf>
    <xf numFmtId="0" fontId="8" fillId="0" borderId="3" applyAlignment="1" pivotButton="0" quotePrefix="0" xfId="0">
      <alignment horizontal="right" vertical="center"/>
    </xf>
    <xf numFmtId="165" fontId="8" fillId="5" borderId="3" applyAlignment="1" pivotButton="0" quotePrefix="0" xfId="0">
      <alignment horizontal="right" vertical="center"/>
    </xf>
    <xf numFmtId="165" fontId="0" fillId="5" borderId="3" applyAlignment="1" pivotButton="0" quotePrefix="0" xfId="0">
      <alignment horizontal="right" vertical="center"/>
    </xf>
    <xf numFmtId="165" fontId="0" fillId="0" borderId="3" applyAlignment="1" pivotButton="0" quotePrefix="0" xfId="0">
      <alignment horizontal="right" vertical="center"/>
    </xf>
    <xf numFmtId="0" fontId="8" fillId="6" borderId="3" pivotButton="0" quotePrefix="0" xfId="0"/>
    <xf numFmtId="2" fontId="8" fillId="8" borderId="3" applyAlignment="1" pivotButton="0" quotePrefix="0" xfId="0">
      <alignment horizontal="center" vertical="center"/>
    </xf>
    <xf numFmtId="2" fontId="7" fillId="0" borderId="3" applyAlignment="1" pivotButton="0" quotePrefix="0" xfId="0">
      <alignment horizontal="center" vertical="center"/>
    </xf>
    <xf numFmtId="2" fontId="8" fillId="9" borderId="3" applyAlignment="1" pivotButton="0" quotePrefix="0" xfId="0">
      <alignment horizontal="center" vertical="center"/>
    </xf>
    <xf numFmtId="2" fontId="8" fillId="1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22" customWidth="1" min="2" max="2"/>
    <col width="22" customWidth="1" min="3" max="3"/>
    <col width="25" customWidth="1" min="4" max="4"/>
    <col width="22" customWidth="1" min="5" max="5"/>
    <col width="22" customWidth="1" min="6" max="6"/>
  </cols>
  <sheetData>
    <row r="1" ht="30" customHeight="1">
      <c r="A1" s="1" t="inlineStr">
        <is>
          <t>AXIVEST — PORTFOLIO RISK &amp; OPTIONS INTELLIGENCE</t>
        </is>
      </c>
    </row>
    <row r="2" ht="20" customHeight="1">
      <c r="A2" s="2" t="inlineStr">
        <is>
          <t>Author: Kandala Guru Balaji | B.Tech CSBS (3rd Year) | Tagline: "See the risk. Test the downside."</t>
        </is>
      </c>
    </row>
    <row r="3"/>
    <row r="4" ht="18" customHeight="1">
      <c r="A4" s="3" t="inlineStr">
        <is>
          <t>Avg Annual Volatility</t>
        </is>
      </c>
      <c r="B4" s="3" t="inlineStr">
        <is>
          <t>Worst Max Drawdown</t>
        </is>
      </c>
      <c r="C4" s="3" t="inlineStr">
        <is>
          <t>Assets Analysed</t>
        </is>
      </c>
      <c r="D4" s="3" t="inlineStr">
        <is>
          <t>Severe Stress Loss</t>
        </is>
      </c>
      <c r="E4" s="3" t="inlineStr">
        <is>
          <t>Options Strategies</t>
        </is>
      </c>
    </row>
    <row r="5" ht="26" customHeight="1">
      <c r="A5" s="4">
        <f>AVERAGE('Risk Rankings'!C6:C15)</f>
        <v/>
      </c>
      <c r="B5" s="4">
        <f>MIN('Risk Rankings'!D6:D16)</f>
        <v/>
      </c>
      <c r="C5" s="5" t="inlineStr">
        <is>
          <t>11</t>
        </is>
      </c>
      <c r="D5" s="4">
        <f>ABS('Macro Stress Testing'!B23)</f>
        <v/>
      </c>
      <c r="E5" s="5" t="inlineStr">
        <is>
          <t>3</t>
        </is>
      </c>
    </row>
    <row r="6"/>
    <row r="7">
      <c r="A7" s="6" t="inlineStr">
        <is>
          <t>Institutional Equity Universe &amp; Benchmark Baseline</t>
        </is>
      </c>
    </row>
    <row r="8" ht="24" customHeight="1">
      <c r="A8" s="7" t="inlineStr">
        <is>
          <t>Asset Name</t>
        </is>
      </c>
      <c r="B8" s="7" t="inlineStr">
        <is>
          <t>Ticker</t>
        </is>
      </c>
      <c r="C8" s="7" t="inlineStr">
        <is>
          <t>Sector</t>
        </is>
      </c>
      <c r="D8" s="7" t="inlineStr">
        <is>
          <t>Annualized Volatility</t>
        </is>
      </c>
      <c r="E8" s="7" t="inlineStr">
        <is>
          <t>Max Drawdown</t>
        </is>
      </c>
      <c r="F8" s="7" t="inlineStr">
        <is>
          <t>Risk Category</t>
        </is>
      </c>
    </row>
    <row r="9">
      <c r="A9" s="8" t="inlineStr">
        <is>
          <t>Bharti Airtel</t>
        </is>
      </c>
      <c r="B9" s="8" t="inlineStr">
        <is>
          <t>BHARTIARTL.NS</t>
        </is>
      </c>
      <c r="C9" s="8" t="inlineStr">
        <is>
          <t>Telecom</t>
        </is>
      </c>
      <c r="D9" s="9">
        <f>'Risk Rankings'!C11</f>
        <v/>
      </c>
      <c r="E9" s="9">
        <f>'Risk Rankings'!D11</f>
        <v/>
      </c>
      <c r="F9" s="10" t="inlineStr">
        <is>
          <t>Moderate Risk</t>
        </is>
      </c>
    </row>
    <row r="10">
      <c r="A10" s="11" t="inlineStr">
        <is>
          <t>HDFC Bank</t>
        </is>
      </c>
      <c r="B10" s="11" t="inlineStr">
        <is>
          <t>HDFCBANK.NS</t>
        </is>
      </c>
      <c r="C10" s="11" t="inlineStr">
        <is>
          <t>Banking</t>
        </is>
      </c>
      <c r="D10" s="12">
        <f>'Risk Rankings'!C13</f>
        <v/>
      </c>
      <c r="E10" s="12">
        <f>'Risk Rankings'!D13</f>
        <v/>
      </c>
      <c r="F10" s="13" t="inlineStr">
        <is>
          <t>Core Large-Cap</t>
        </is>
      </c>
    </row>
    <row r="11">
      <c r="A11" s="8" t="inlineStr">
        <is>
          <t>ICICI Bank</t>
        </is>
      </c>
      <c r="B11" s="8" t="inlineStr">
        <is>
          <t>ICICIBANK.NS</t>
        </is>
      </c>
      <c r="C11" s="8" t="inlineStr">
        <is>
          <t>Banking</t>
        </is>
      </c>
      <c r="D11" s="9">
        <f>'Risk Rankings'!C15</f>
        <v/>
      </c>
      <c r="E11" s="9">
        <f>'Risk Rankings'!D15</f>
        <v/>
      </c>
      <c r="F11" s="10" t="inlineStr">
        <is>
          <t>Core Large-Cap</t>
        </is>
      </c>
    </row>
    <row r="12">
      <c r="A12" s="11" t="inlineStr">
        <is>
          <t>Infosys</t>
        </is>
      </c>
      <c r="B12" s="11" t="inlineStr">
        <is>
          <t>INFY.NS</t>
        </is>
      </c>
      <c r="C12" s="11" t="inlineStr">
        <is>
          <t>Information Tech</t>
        </is>
      </c>
      <c r="D12" s="12">
        <f>'Risk Rankings'!C6</f>
        <v/>
      </c>
      <c r="E12" s="12">
        <f>'Risk Rankings'!D6</f>
        <v/>
      </c>
      <c r="F12" s="13" t="inlineStr">
        <is>
          <t>High Volatility</t>
        </is>
      </c>
    </row>
    <row r="13">
      <c r="A13" s="8" t="inlineStr">
        <is>
          <t>ITC</t>
        </is>
      </c>
      <c r="B13" s="8" t="inlineStr">
        <is>
          <t>ITC.NS</t>
        </is>
      </c>
      <c r="C13" s="8" t="inlineStr">
        <is>
          <t>FMCG</t>
        </is>
      </c>
      <c r="D13" s="9">
        <f>'Risk Rankings'!C14</f>
        <v/>
      </c>
      <c r="E13" s="9">
        <f>'Risk Rankings'!D14</f>
        <v/>
      </c>
      <c r="F13" s="10" t="inlineStr">
        <is>
          <t>Defensive Value</t>
        </is>
      </c>
    </row>
    <row r="14">
      <c r="A14" s="11" t="inlineStr">
        <is>
          <t>L&amp;T</t>
        </is>
      </c>
      <c r="B14" s="11" t="inlineStr">
        <is>
          <t>LT.NS</t>
        </is>
      </c>
      <c r="C14" s="11" t="inlineStr">
        <is>
          <t>Infrastructure</t>
        </is>
      </c>
      <c r="D14" s="12">
        <f>'Risk Rankings'!C9</f>
        <v/>
      </c>
      <c r="E14" s="12">
        <f>'Risk Rankings'!D9</f>
        <v/>
      </c>
      <c r="F14" s="13" t="inlineStr">
        <is>
          <t>Industrial Growth</t>
        </is>
      </c>
    </row>
    <row r="15">
      <c r="A15" s="8" t="inlineStr">
        <is>
          <t>M&amp;M</t>
        </is>
      </c>
      <c r="B15" s="8" t="inlineStr">
        <is>
          <t>M&amp;M.NS</t>
        </is>
      </c>
      <c r="C15" s="8" t="inlineStr">
        <is>
          <t>Automobile</t>
        </is>
      </c>
      <c r="D15" s="9">
        <f>'Risk Rankings'!C7</f>
        <v/>
      </c>
      <c r="E15" s="9">
        <f>'Risk Rankings'!D7</f>
        <v/>
      </c>
      <c r="F15" s="10" t="inlineStr">
        <is>
          <t>High Volatility</t>
        </is>
      </c>
    </row>
    <row r="16">
      <c r="A16" s="11" t="inlineStr">
        <is>
          <t>NTPC</t>
        </is>
      </c>
      <c r="B16" s="11" t="inlineStr">
        <is>
          <t>NTPC.NS</t>
        </is>
      </c>
      <c r="C16" s="11" t="inlineStr">
        <is>
          <t>Energy &amp; Utilities</t>
        </is>
      </c>
      <c r="D16" s="12">
        <f>'Risk Rankings'!C10</f>
        <v/>
      </c>
      <c r="E16" s="12">
        <f>'Risk Rankings'!D10</f>
        <v/>
      </c>
      <c r="F16" s="13" t="inlineStr">
        <is>
          <t>Utility Yield</t>
        </is>
      </c>
    </row>
    <row r="17">
      <c r="A17" s="8" t="inlineStr">
        <is>
          <t>Reliance</t>
        </is>
      </c>
      <c r="B17" s="8" t="inlineStr">
        <is>
          <t>RELIANCE.NS</t>
        </is>
      </c>
      <c r="C17" s="8" t="inlineStr">
        <is>
          <t>Conglomerate</t>
        </is>
      </c>
      <c r="D17" s="9">
        <f>'Risk Rankings'!C12</f>
        <v/>
      </c>
      <c r="E17" s="9">
        <f>'Risk Rankings'!D12</f>
        <v/>
      </c>
      <c r="F17" s="10" t="inlineStr">
        <is>
          <t>Index Heavyweight</t>
        </is>
      </c>
    </row>
    <row r="18">
      <c r="A18" s="11" t="inlineStr">
        <is>
          <t>TCS</t>
        </is>
      </c>
      <c r="B18" s="11" t="inlineStr">
        <is>
          <t>TCS.NS</t>
        </is>
      </c>
      <c r="C18" s="11" t="inlineStr">
        <is>
          <t>Information Tech</t>
        </is>
      </c>
      <c r="D18" s="12">
        <f>'Risk Rankings'!C8</f>
        <v/>
      </c>
      <c r="E18" s="12">
        <f>'Risk Rankings'!D8</f>
        <v/>
      </c>
      <c r="F18" s="13" t="inlineStr">
        <is>
          <t>Worst Drawdown</t>
        </is>
      </c>
    </row>
    <row r="19">
      <c r="A19" s="14" t="inlineStr">
        <is>
          <t>NIFTY 50</t>
        </is>
      </c>
      <c r="B19" s="8" t="inlineStr">
        <is>
          <t>^NSEI</t>
        </is>
      </c>
      <c r="C19" s="8" t="inlineStr">
        <is>
          <t>Benchmark Index</t>
        </is>
      </c>
      <c r="D19" s="15">
        <f>'Risk Rankings'!C16</f>
        <v/>
      </c>
      <c r="E19" s="15">
        <f>'Risk Rankings'!D16</f>
        <v/>
      </c>
      <c r="F19" s="10" t="inlineStr">
        <is>
          <t>Benchmark Baseline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25" customWidth="1" min="3" max="3"/>
    <col width="20" customWidth="1" min="4" max="4"/>
    <col width="14" customWidth="1" min="5" max="5"/>
    <col width="15" customWidth="1" min="6" max="6"/>
    <col width="19" customWidth="1" min="7" max="7"/>
  </cols>
  <sheetData>
    <row r="1" ht="28" customHeight="1">
      <c r="A1" s="1" t="inlineStr">
        <is>
          <t>ASSET RISK RANKINGS — VOLATILITY &amp; MAXIMUM DRAWDOWN</t>
        </is>
      </c>
    </row>
    <row r="2">
      <c r="A2" s="2" t="inlineStr">
        <is>
          <t>Quantitative evaluation over 497 trading days (October 2024 to October 2026)</t>
        </is>
      </c>
    </row>
    <row r="3"/>
    <row r="4"/>
    <row r="5" ht="24" customHeight="1">
      <c r="A5" s="7" t="inlineStr">
        <is>
          <t>Asset Name</t>
        </is>
      </c>
      <c r="B5" s="7" t="inlineStr">
        <is>
          <t>Asset Type</t>
        </is>
      </c>
      <c r="C5" s="7" t="inlineStr">
        <is>
          <t>Annualized Volatility</t>
        </is>
      </c>
      <c r="D5" s="7" t="inlineStr">
        <is>
          <t>Maximum Drawdown</t>
        </is>
      </c>
      <c r="E5" s="7" t="inlineStr">
        <is>
          <t>Peak Date</t>
        </is>
      </c>
      <c r="F5" s="7" t="inlineStr">
        <is>
          <t>Trough Date</t>
        </is>
      </c>
      <c r="G5" s="7" t="inlineStr">
        <is>
          <t>Volatility Rank</t>
        </is>
      </c>
    </row>
    <row r="6">
      <c r="A6" s="8" t="inlineStr">
        <is>
          <t>Infosys</t>
        </is>
      </c>
      <c r="B6" s="10" t="inlineStr">
        <is>
          <t>Equity</t>
        </is>
      </c>
      <c r="C6" s="9" t="n">
        <v>0.282009</v>
      </c>
      <c r="D6" s="9" t="n">
        <v>-0.4817</v>
      </c>
      <c r="E6" s="16" t="inlineStr">
        <is>
          <t>2024-12-13</t>
        </is>
      </c>
      <c r="F6" s="16" t="inlineStr">
        <is>
          <t>2026-07-01</t>
        </is>
      </c>
      <c r="G6" s="17">
        <f>RANK(C6, $C$6:$C$16)</f>
        <v/>
      </c>
    </row>
    <row r="7">
      <c r="A7" s="11" t="inlineStr">
        <is>
          <t>M&amp;M</t>
        </is>
      </c>
      <c r="B7" s="13" t="inlineStr">
        <is>
          <t>Equity</t>
        </is>
      </c>
      <c r="C7" s="12" t="n">
        <v>0.280473</v>
      </c>
      <c r="D7" s="12" t="n">
        <v>-0.2689</v>
      </c>
      <c r="E7" s="18" t="inlineStr">
        <is>
          <t>2026-01-02</t>
        </is>
      </c>
      <c r="F7" s="18" t="inlineStr">
        <is>
          <t>2026-10-08</t>
        </is>
      </c>
      <c r="G7" s="19">
        <f>RANK(C7, $C$6:$C$16)</f>
        <v/>
      </c>
    </row>
    <row r="8">
      <c r="A8" s="8" t="inlineStr">
        <is>
          <t>TCS</t>
        </is>
      </c>
      <c r="B8" s="10" t="inlineStr">
        <is>
          <t>Equity</t>
        </is>
      </c>
      <c r="C8" s="9" t="n">
        <v>0.251016</v>
      </c>
      <c r="D8" s="9" t="n">
        <v>-0.5268</v>
      </c>
      <c r="E8" s="16" t="inlineStr">
        <is>
          <t>2024-12-13</t>
        </is>
      </c>
      <c r="F8" s="16" t="inlineStr">
        <is>
          <t>2026-07-01</t>
        </is>
      </c>
      <c r="G8" s="17">
        <f>RANK(C8, $C$6:$C$16)</f>
        <v/>
      </c>
    </row>
    <row r="9">
      <c r="A9" s="11" t="inlineStr">
        <is>
          <t>L&amp;T</t>
        </is>
      </c>
      <c r="B9" s="13" t="inlineStr">
        <is>
          <t>Equity</t>
        </is>
      </c>
      <c r="C9" s="12" t="n">
        <v>0.246283</v>
      </c>
      <c r="D9" s="12" t="n">
        <v>-0.2435</v>
      </c>
      <c r="E9" s="18" t="inlineStr">
        <is>
          <t>2026-02-23</t>
        </is>
      </c>
      <c r="F9" s="18" t="inlineStr">
        <is>
          <t>2026-03-23</t>
        </is>
      </c>
      <c r="G9" s="19">
        <f>RANK(C9, $C$6:$C$16)</f>
        <v/>
      </c>
    </row>
    <row r="10">
      <c r="A10" s="8" t="inlineStr">
        <is>
          <t>NTPC</t>
        </is>
      </c>
      <c r="B10" s="10" t="inlineStr">
        <is>
          <t>Equity</t>
        </is>
      </c>
      <c r="C10" s="9" t="n">
        <v>0.212689</v>
      </c>
      <c r="D10" s="9" t="n">
        <v>-0.2967</v>
      </c>
      <c r="E10" s="16" t="inlineStr">
        <is>
          <t>2024-10-15</t>
        </is>
      </c>
      <c r="F10" s="16" t="inlineStr">
        <is>
          <t>2025-01-13</t>
        </is>
      </c>
      <c r="G10" s="17">
        <f>RANK(C10, $C$6:$C$16)</f>
        <v/>
      </c>
    </row>
    <row r="11">
      <c r="A11" s="11" t="inlineStr">
        <is>
          <t>Bharti Airtel</t>
        </is>
      </c>
      <c r="B11" s="13" t="inlineStr">
        <is>
          <t>Equity</t>
        </is>
      </c>
      <c r="C11" s="12" t="n">
        <v>0.208961</v>
      </c>
      <c r="D11" s="12" t="n">
        <v>-0.1877</v>
      </c>
      <c r="E11" s="18" t="inlineStr">
        <is>
          <t>2025-11-21</t>
        </is>
      </c>
      <c r="F11" s="18" t="inlineStr">
        <is>
          <t>2026-05-12</t>
        </is>
      </c>
      <c r="G11" s="19">
        <f>RANK(C11, $C$6:$C$16)</f>
        <v/>
      </c>
    </row>
    <row r="12">
      <c r="A12" s="8" t="inlineStr">
        <is>
          <t>Reliance</t>
        </is>
      </c>
      <c r="B12" s="10" t="inlineStr">
        <is>
          <t>Equity</t>
        </is>
      </c>
      <c r="C12" s="9" t="n">
        <v>0.207907</v>
      </c>
      <c r="D12" s="9" t="n">
        <v>-0.2633</v>
      </c>
      <c r="E12" s="16" t="inlineStr">
        <is>
          <t>2026-01-02</t>
        </is>
      </c>
      <c r="F12" s="16" t="inlineStr">
        <is>
          <t>2026-10-01</t>
        </is>
      </c>
      <c r="G12" s="17">
        <f>RANK(C12, $C$6:$C$16)</f>
        <v/>
      </c>
    </row>
    <row r="13">
      <c r="A13" s="11" t="inlineStr">
        <is>
          <t>HDFC Bank</t>
        </is>
      </c>
      <c r="B13" s="13" t="inlineStr">
        <is>
          <t>Equity</t>
        </is>
      </c>
      <c r="C13" s="12" t="n">
        <v>0.198052</v>
      </c>
      <c r="D13" s="12" t="n">
        <v>-0.3104</v>
      </c>
      <c r="E13" s="18" t="inlineStr">
        <is>
          <t>2025-07-30</t>
        </is>
      </c>
      <c r="F13" s="18" t="inlineStr">
        <is>
          <t>2026-09-09</t>
        </is>
      </c>
      <c r="G13" s="19">
        <f>RANK(C13, $C$6:$C$16)</f>
        <v/>
      </c>
    </row>
    <row r="14">
      <c r="A14" s="8" t="inlineStr">
        <is>
          <t>ITC</t>
        </is>
      </c>
      <c r="B14" s="10" t="inlineStr">
        <is>
          <t>Equity</t>
        </is>
      </c>
      <c r="C14" s="9" t="n">
        <v>0.194978</v>
      </c>
      <c r="D14" s="9" t="n">
        <v>-0.4237</v>
      </c>
      <c r="E14" s="16" t="inlineStr">
        <is>
          <t>2024-10-15</t>
        </is>
      </c>
      <c r="F14" s="16" t="inlineStr">
        <is>
          <t>2026-10-08</t>
        </is>
      </c>
      <c r="G14" s="17">
        <f>RANK(C14, $C$6:$C$16)</f>
        <v/>
      </c>
    </row>
    <row r="15">
      <c r="A15" s="11" t="inlineStr">
        <is>
          <t>ICICI Bank</t>
        </is>
      </c>
      <c r="B15" s="13" t="inlineStr">
        <is>
          <t>Equity</t>
        </is>
      </c>
      <c r="C15" s="12" t="n">
        <v>0.184812</v>
      </c>
      <c r="D15" s="12" t="n">
        <v>-0.1837</v>
      </c>
      <c r="E15" s="18" t="inlineStr">
        <is>
          <t>2025-07-23</t>
        </is>
      </c>
      <c r="F15" s="18" t="inlineStr">
        <is>
          <t>2026-03-30</t>
        </is>
      </c>
      <c r="G15" s="19">
        <f>RANK(C15, $C$6:$C$16)</f>
        <v/>
      </c>
    </row>
    <row r="16">
      <c r="A16" s="14" t="inlineStr">
        <is>
          <t>NIFTY 50</t>
        </is>
      </c>
      <c r="B16" s="10" t="inlineStr">
        <is>
          <t>Index</t>
        </is>
      </c>
      <c r="C16" s="15" t="n">
        <v>0.131276</v>
      </c>
      <c r="D16" s="15" t="n">
        <v>-0.1556</v>
      </c>
      <c r="E16" s="16" t="inlineStr">
        <is>
          <t>2026-01-02</t>
        </is>
      </c>
      <c r="F16" s="16" t="inlineStr">
        <is>
          <t>2026-10-08</t>
        </is>
      </c>
      <c r="G16" s="17">
        <f>RANK(C16, $C$6:$C$16)</f>
        <v/>
      </c>
    </row>
    <row r="17"/>
    <row r="18">
      <c r="A18" s="20" t="inlineStr">
        <is>
          <t>Average Equity Volatility</t>
        </is>
      </c>
      <c r="C18" s="21">
        <f>AVERAGE(C6:C15)</f>
        <v/>
      </c>
    </row>
    <row r="19">
      <c r="A19" s="20" t="inlineStr">
        <is>
          <t>Worst Historical Drawdown</t>
        </is>
      </c>
      <c r="D19" s="21">
        <f>MIN(D6:D16)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20" customWidth="1" min="2" max="2"/>
    <col width="21" customWidth="1" min="3" max="3"/>
    <col width="25" customWidth="1" min="4" max="4"/>
    <col width="30" customWidth="1" min="5" max="5"/>
  </cols>
  <sheetData>
    <row r="1" ht="28" customHeight="1">
      <c r="A1" s="1" t="inlineStr">
        <is>
          <t>PORTFOLIO MACRO STRESS TESTING SIMULATION</t>
        </is>
      </c>
    </row>
    <row r="2">
      <c r="A2" s="2" t="inlineStr">
        <is>
          <t>Illustrative ₹100,000 Portfolio across 10 Equal-Weighted Equities (10% each = 100%)</t>
        </is>
      </c>
    </row>
    <row r="3"/>
    <row r="4"/>
    <row r="5" ht="24" customHeight="1">
      <c r="A5" s="7" t="inlineStr">
        <is>
          <t>Stock</t>
        </is>
      </c>
      <c r="B5" s="7" t="inlineStr">
        <is>
          <t>Portfolio Weight</t>
        </is>
      </c>
      <c r="C5" s="7" t="inlineStr">
        <is>
          <t>Mild Stress Shock</t>
        </is>
      </c>
      <c r="D5" s="7" t="inlineStr">
        <is>
          <t>Moderate Stress Shock</t>
        </is>
      </c>
      <c r="E5" s="7" t="inlineStr">
        <is>
          <t>Severe Stress Shock</t>
        </is>
      </c>
    </row>
    <row r="6">
      <c r="A6" s="14" t="inlineStr">
        <is>
          <t>TCS</t>
        </is>
      </c>
      <c r="B6" s="22" t="n">
        <v>0.1</v>
      </c>
      <c r="C6" s="9" t="n">
        <v>-0.05</v>
      </c>
      <c r="D6" s="9" t="n">
        <v>-0.12</v>
      </c>
      <c r="E6" s="9" t="n">
        <v>-0.25</v>
      </c>
    </row>
    <row r="7">
      <c r="A7" s="23" t="inlineStr">
        <is>
          <t>Infosys</t>
        </is>
      </c>
      <c r="B7" s="24" t="n">
        <v>0.1</v>
      </c>
      <c r="C7" s="12" t="n">
        <v>-0.05</v>
      </c>
      <c r="D7" s="12" t="n">
        <v>-0.12</v>
      </c>
      <c r="E7" s="12" t="n">
        <v>-0.25</v>
      </c>
    </row>
    <row r="8">
      <c r="A8" s="14" t="inlineStr">
        <is>
          <t>HDFC Bank</t>
        </is>
      </c>
      <c r="B8" s="22" t="n">
        <v>0.1</v>
      </c>
      <c r="C8" s="9" t="n">
        <v>-0.04</v>
      </c>
      <c r="D8" s="9" t="n">
        <v>-0.1</v>
      </c>
      <c r="E8" s="9" t="n">
        <v>-0.22</v>
      </c>
    </row>
    <row r="9">
      <c r="A9" s="23" t="inlineStr">
        <is>
          <t>ICICI Bank</t>
        </is>
      </c>
      <c r="B9" s="24" t="n">
        <v>0.1</v>
      </c>
      <c r="C9" s="12" t="n">
        <v>-0.04</v>
      </c>
      <c r="D9" s="12" t="n">
        <v>-0.1</v>
      </c>
      <c r="E9" s="12" t="n">
        <v>-0.22</v>
      </c>
    </row>
    <row r="10">
      <c r="A10" s="14" t="inlineStr">
        <is>
          <t>Reliance</t>
        </is>
      </c>
      <c r="B10" s="22" t="n">
        <v>0.1</v>
      </c>
      <c r="C10" s="9" t="n">
        <v>-0.05</v>
      </c>
      <c r="D10" s="9" t="n">
        <v>-0.12</v>
      </c>
      <c r="E10" s="9" t="n">
        <v>-0.25</v>
      </c>
    </row>
    <row r="11">
      <c r="A11" s="23" t="inlineStr">
        <is>
          <t>NTPC</t>
        </is>
      </c>
      <c r="B11" s="24" t="n">
        <v>0.1</v>
      </c>
      <c r="C11" s="12" t="n">
        <v>-0.03</v>
      </c>
      <c r="D11" s="12" t="n">
        <v>-0.08</v>
      </c>
      <c r="E11" s="12" t="n">
        <v>-0.18</v>
      </c>
    </row>
    <row r="12">
      <c r="A12" s="14" t="inlineStr">
        <is>
          <t>L&amp;T</t>
        </is>
      </c>
      <c r="B12" s="22" t="n">
        <v>0.1</v>
      </c>
      <c r="C12" s="9" t="n">
        <v>-0.05</v>
      </c>
      <c r="D12" s="9" t="n">
        <v>-0.12</v>
      </c>
      <c r="E12" s="9" t="n">
        <v>-0.25</v>
      </c>
    </row>
    <row r="13">
      <c r="A13" s="23" t="inlineStr">
        <is>
          <t>M&amp;M</t>
        </is>
      </c>
      <c r="B13" s="24" t="n">
        <v>0.1</v>
      </c>
      <c r="C13" s="12" t="n">
        <v>-0.06</v>
      </c>
      <c r="D13" s="12" t="n">
        <v>-0.15</v>
      </c>
      <c r="E13" s="12" t="n">
        <v>-0.3</v>
      </c>
    </row>
    <row r="14">
      <c r="A14" s="14" t="inlineStr">
        <is>
          <t>ITC</t>
        </is>
      </c>
      <c r="B14" s="22" t="n">
        <v>0.1</v>
      </c>
      <c r="C14" s="9" t="n">
        <v>-0.03</v>
      </c>
      <c r="D14" s="9" t="n">
        <v>-0.07000000000000001</v>
      </c>
      <c r="E14" s="9" t="n">
        <v>-0.15</v>
      </c>
    </row>
    <row r="15">
      <c r="A15" s="23" t="inlineStr">
        <is>
          <t>Bharti Airtel</t>
        </is>
      </c>
      <c r="B15" s="24" t="n">
        <v>0.1</v>
      </c>
      <c r="C15" s="12" t="n">
        <v>-0.04</v>
      </c>
      <c r="D15" s="12" t="n">
        <v>-0.09</v>
      </c>
      <c r="E15" s="12" t="n">
        <v>-0.2</v>
      </c>
    </row>
    <row r="16">
      <c r="A16" s="20" t="inlineStr">
        <is>
          <t>Portfolio Weighted Return</t>
        </is>
      </c>
      <c r="B16" s="21">
        <f>SUM(B6:B15)</f>
        <v/>
      </c>
      <c r="C16" s="25">
        <f>SUMPRODUCT($B$6:$B$15, C6:C15)</f>
        <v/>
      </c>
      <c r="D16" s="25">
        <f>SUMPRODUCT($B$6:$B$15, D6:D15)</f>
        <v/>
      </c>
      <c r="E16" s="25">
        <f>SUMPRODUCT($B$6:$B$15, E6:E15)</f>
        <v/>
      </c>
    </row>
    <row r="17"/>
    <row r="18"/>
    <row r="19">
      <c r="A19" s="6" t="inlineStr">
        <is>
          <t>Executive Scenario Capital Loss Summary</t>
        </is>
      </c>
    </row>
    <row r="20">
      <c r="A20" s="7" t="inlineStr">
        <is>
          <t>Scenario</t>
        </is>
      </c>
      <c r="B20" s="7" t="inlineStr">
        <is>
          <t>Portfolio Return</t>
        </is>
      </c>
      <c r="C20" s="7" t="inlineStr">
        <is>
          <t>Portfolio Loss</t>
        </is>
      </c>
      <c r="D20" s="7" t="inlineStr">
        <is>
          <t>Starting Portfolio</t>
        </is>
      </c>
      <c r="E20" s="7" t="inlineStr">
        <is>
          <t>Post-Stress Residual Value</t>
        </is>
      </c>
    </row>
    <row r="21">
      <c r="A21" s="14" t="inlineStr">
        <is>
          <t>Mild Stress</t>
        </is>
      </c>
      <c r="B21" s="15">
        <f>C16</f>
        <v/>
      </c>
      <c r="C21" s="26">
        <f>ABS(B21)</f>
        <v/>
      </c>
      <c r="D21" s="27" t="n">
        <v>100000</v>
      </c>
      <c r="E21" s="28">
        <f>D21*(1+B21)</f>
        <v/>
      </c>
    </row>
    <row r="22">
      <c r="A22" s="14" t="inlineStr">
        <is>
          <t>Moderate Stress</t>
        </is>
      </c>
      <c r="B22" s="15">
        <f>D16</f>
        <v/>
      </c>
      <c r="C22" s="26">
        <f>ABS(B22)</f>
        <v/>
      </c>
      <c r="D22" s="27" t="n">
        <v>100000</v>
      </c>
      <c r="E22" s="28">
        <f>D22*(1+B22)</f>
        <v/>
      </c>
    </row>
    <row r="23">
      <c r="A23" s="14" t="inlineStr">
        <is>
          <t>Severe Stress</t>
        </is>
      </c>
      <c r="B23" s="15">
        <f>E16</f>
        <v/>
      </c>
      <c r="C23" s="26">
        <f>ABS(B23)</f>
        <v/>
      </c>
      <c r="D23" s="27" t="n">
        <v>100000</v>
      </c>
      <c r="E23" s="28">
        <f>D23*(1+B23)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67" customWidth="1" min="2" max="2"/>
    <col width="20" customWidth="1" min="3" max="3"/>
    <col width="15" customWidth="1" min="4" max="4"/>
    <col width="12" customWidth="1" min="5" max="5"/>
    <col width="19" customWidth="1" min="6" max="6"/>
    <col width="19" customWidth="1" min="7" max="7"/>
  </cols>
  <sheetData>
    <row r="1" ht="28" customHeight="1">
      <c r="A1" s="1" t="inlineStr">
        <is>
          <t>OPTIONS STRATEGY INTELLIGENCE &amp; EXPIRATION PAYOFF</t>
        </is>
      </c>
    </row>
    <row r="2">
      <c r="A2" s="2" t="inlineStr">
        <is>
          <t>Payoff curves across tested underlying strike ranges (₹700 to ₹1,300)</t>
        </is>
      </c>
    </row>
    <row r="3"/>
    <row r="4">
      <c r="A4" s="6" t="inlineStr">
        <is>
          <t>Strategy Specifications &amp; Risk Profile</t>
        </is>
      </c>
    </row>
    <row r="5">
      <c r="A5" s="7" t="inlineStr">
        <is>
          <t>Strategy</t>
        </is>
      </c>
      <c r="B5" s="7" t="inlineStr">
        <is>
          <t>Description</t>
        </is>
      </c>
      <c r="C5" s="7" t="inlineStr">
        <is>
          <t>Net Premium Paid</t>
        </is>
      </c>
      <c r="D5" s="7" t="inlineStr">
        <is>
          <t>Max Profit</t>
        </is>
      </c>
      <c r="E5" s="7" t="inlineStr">
        <is>
          <t>Max Loss</t>
        </is>
      </c>
      <c r="F5" s="7" t="inlineStr">
        <is>
          <t>Lower Breakeven</t>
        </is>
      </c>
      <c r="G5" s="7" t="inlineStr">
        <is>
          <t>Upper Breakeven</t>
        </is>
      </c>
    </row>
    <row r="6">
      <c r="A6" s="14" t="inlineStr">
        <is>
          <t>Bull Call Spread</t>
        </is>
      </c>
      <c r="B6" s="8" t="inlineStr">
        <is>
          <t>Limited-risk bullish play (Long 1000C / Short 1100C)</t>
        </is>
      </c>
      <c r="C6" s="29" t="n">
        <v>35</v>
      </c>
      <c r="D6" s="30" t="n">
        <v>65</v>
      </c>
      <c r="E6" s="30" t="n">
        <v>-35</v>
      </c>
      <c r="F6" s="29" t="n">
        <v>1035</v>
      </c>
      <c r="G6" s="29" t="n">
        <v>1035</v>
      </c>
    </row>
    <row r="7">
      <c r="A7" s="14" t="inlineStr">
        <is>
          <t>Long Straddle</t>
        </is>
      </c>
      <c r="B7" s="8" t="inlineStr">
        <is>
          <t>Volatility breakout play (Long 1000C / Long 1000P)</t>
        </is>
      </c>
      <c r="C7" s="29" t="n">
        <v>105</v>
      </c>
      <c r="D7" s="31" t="inlineStr">
        <is>
          <t>Substantial</t>
        </is>
      </c>
      <c r="E7" s="30" t="n">
        <v>-105</v>
      </c>
      <c r="F7" s="29" t="n">
        <v>895</v>
      </c>
      <c r="G7" s="29" t="n">
        <v>1105</v>
      </c>
    </row>
    <row r="8">
      <c r="A8" s="14" t="inlineStr">
        <is>
          <t>Iron Condor</t>
        </is>
      </c>
      <c r="B8" s="8" t="inlineStr">
        <is>
          <t>Range-bound credit play (850P/900P spread + 1100C/1150C spread)</t>
        </is>
      </c>
      <c r="C8" s="29" t="n">
        <v>-23</v>
      </c>
      <c r="D8" s="30" t="n">
        <v>23</v>
      </c>
      <c r="E8" s="30" t="n">
        <v>-27</v>
      </c>
      <c r="F8" s="29" t="n">
        <v>877</v>
      </c>
      <c r="G8" s="29" t="n">
        <v>1123</v>
      </c>
    </row>
    <row r="9"/>
    <row r="10"/>
    <row r="11">
      <c r="A11" s="6" t="inlineStr">
        <is>
          <t>Expiration Profit / Loss Schedule (₹ per unit)</t>
        </is>
      </c>
    </row>
    <row r="12">
      <c r="A12" s="7" t="inlineStr">
        <is>
          <t>Spot Price at Expiry</t>
        </is>
      </c>
      <c r="B12" s="7" t="inlineStr">
        <is>
          <t>Bull Call Spread</t>
        </is>
      </c>
      <c r="C12" s="7" t="inlineStr">
        <is>
          <t>Long Straddle</t>
        </is>
      </c>
      <c r="D12" s="7" t="inlineStr">
        <is>
          <t>Iron Condor</t>
        </is>
      </c>
    </row>
    <row r="13">
      <c r="A13" s="32" t="n">
        <v>700</v>
      </c>
      <c r="B13" s="33">
        <f>MAX(A13-1000, 0) - MAX(A13-1100, 0) - 35</f>
        <v/>
      </c>
      <c r="C13" s="33">
        <f>MAX(A13-1000, 0) + MAX(1000-A13, 0) - 105</f>
        <v/>
      </c>
      <c r="D13" s="33">
        <f>MAX(850-A13, 0) - MAX(900-A13, 0) - MAX(A13-1100, 0) + MAX(A13-1150, 0) + 23</f>
        <v/>
      </c>
    </row>
    <row r="14">
      <c r="A14" s="28" t="n">
        <v>725</v>
      </c>
      <c r="B14" s="34">
        <f>MAX(A14-1000, 0) - MAX(A14-1100, 0) - 35</f>
        <v/>
      </c>
      <c r="C14" s="34">
        <f>MAX(A14-1000, 0) + MAX(1000-A14, 0) - 105</f>
        <v/>
      </c>
      <c r="D14" s="34">
        <f>MAX(850-A14, 0) - MAX(900-A14, 0) - MAX(A14-1100, 0) + MAX(A14-1150, 0) + 23</f>
        <v/>
      </c>
    </row>
    <row r="15">
      <c r="A15" s="32" t="n">
        <v>750</v>
      </c>
      <c r="B15" s="33">
        <f>MAX(A15-1000, 0) - MAX(A15-1100, 0) - 35</f>
        <v/>
      </c>
      <c r="C15" s="33">
        <f>MAX(A15-1000, 0) + MAX(1000-A15, 0) - 105</f>
        <v/>
      </c>
      <c r="D15" s="33">
        <f>MAX(850-A15, 0) - MAX(900-A15, 0) - MAX(A15-1100, 0) + MAX(A15-1150, 0) + 23</f>
        <v/>
      </c>
    </row>
    <row r="16">
      <c r="A16" s="28" t="n">
        <v>775</v>
      </c>
      <c r="B16" s="34">
        <f>MAX(A16-1000, 0) - MAX(A16-1100, 0) - 35</f>
        <v/>
      </c>
      <c r="C16" s="34">
        <f>MAX(A16-1000, 0) + MAX(1000-A16, 0) - 105</f>
        <v/>
      </c>
      <c r="D16" s="34">
        <f>MAX(850-A16, 0) - MAX(900-A16, 0) - MAX(A16-1100, 0) + MAX(A16-1150, 0) + 23</f>
        <v/>
      </c>
    </row>
    <row r="17">
      <c r="A17" s="32" t="n">
        <v>800</v>
      </c>
      <c r="B17" s="33">
        <f>MAX(A17-1000, 0) - MAX(A17-1100, 0) - 35</f>
        <v/>
      </c>
      <c r="C17" s="33">
        <f>MAX(A17-1000, 0) + MAX(1000-A17, 0) - 105</f>
        <v/>
      </c>
      <c r="D17" s="33">
        <f>MAX(850-A17, 0) - MAX(900-A17, 0) - MAX(A17-1100, 0) + MAX(A17-1150, 0) + 23</f>
        <v/>
      </c>
    </row>
    <row r="18">
      <c r="A18" s="28" t="n">
        <v>825</v>
      </c>
      <c r="B18" s="34">
        <f>MAX(A18-1000, 0) - MAX(A18-1100, 0) - 35</f>
        <v/>
      </c>
      <c r="C18" s="34">
        <f>MAX(A18-1000, 0) + MAX(1000-A18, 0) - 105</f>
        <v/>
      </c>
      <c r="D18" s="34">
        <f>MAX(850-A18, 0) - MAX(900-A18, 0) - MAX(A18-1100, 0) + MAX(A18-1150, 0) + 23</f>
        <v/>
      </c>
    </row>
    <row r="19">
      <c r="A19" s="32" t="n">
        <v>850</v>
      </c>
      <c r="B19" s="33">
        <f>MAX(A19-1000, 0) - MAX(A19-1100, 0) - 35</f>
        <v/>
      </c>
      <c r="C19" s="33">
        <f>MAX(A19-1000, 0) + MAX(1000-A19, 0) - 105</f>
        <v/>
      </c>
      <c r="D19" s="33">
        <f>MAX(850-A19, 0) - MAX(900-A19, 0) - MAX(A19-1100, 0) + MAX(A19-1150, 0) + 23</f>
        <v/>
      </c>
    </row>
    <row r="20">
      <c r="A20" s="28" t="n">
        <v>875</v>
      </c>
      <c r="B20" s="34">
        <f>MAX(A20-1000, 0) - MAX(A20-1100, 0) - 35</f>
        <v/>
      </c>
      <c r="C20" s="34">
        <f>MAX(A20-1000, 0) + MAX(1000-A20, 0) - 105</f>
        <v/>
      </c>
      <c r="D20" s="34">
        <f>MAX(850-A20, 0) - MAX(900-A20, 0) - MAX(A20-1100, 0) + MAX(A20-1150, 0) + 23</f>
        <v/>
      </c>
    </row>
    <row r="21">
      <c r="A21" s="32" t="n">
        <v>900</v>
      </c>
      <c r="B21" s="33">
        <f>MAX(A21-1000, 0) - MAX(A21-1100, 0) - 35</f>
        <v/>
      </c>
      <c r="C21" s="33">
        <f>MAX(A21-1000, 0) + MAX(1000-A21, 0) - 105</f>
        <v/>
      </c>
      <c r="D21" s="33">
        <f>MAX(850-A21, 0) - MAX(900-A21, 0) - MAX(A21-1100, 0) + MAX(A21-1150, 0) + 23</f>
        <v/>
      </c>
    </row>
    <row r="22">
      <c r="A22" s="28" t="n">
        <v>925</v>
      </c>
      <c r="B22" s="34">
        <f>MAX(A22-1000, 0) - MAX(A22-1100, 0) - 35</f>
        <v/>
      </c>
      <c r="C22" s="34">
        <f>MAX(A22-1000, 0) + MAX(1000-A22, 0) - 105</f>
        <v/>
      </c>
      <c r="D22" s="34">
        <f>MAX(850-A22, 0) - MAX(900-A22, 0) - MAX(A22-1100, 0) + MAX(A22-1150, 0) + 23</f>
        <v/>
      </c>
    </row>
    <row r="23">
      <c r="A23" s="32" t="n">
        <v>950</v>
      </c>
      <c r="B23" s="33">
        <f>MAX(A23-1000, 0) - MAX(A23-1100, 0) - 35</f>
        <v/>
      </c>
      <c r="C23" s="33">
        <f>MAX(A23-1000, 0) + MAX(1000-A23, 0) - 105</f>
        <v/>
      </c>
      <c r="D23" s="33">
        <f>MAX(850-A23, 0) - MAX(900-A23, 0) - MAX(A23-1100, 0) + MAX(A23-1150, 0) + 23</f>
        <v/>
      </c>
    </row>
    <row r="24">
      <c r="A24" s="28" t="n">
        <v>975</v>
      </c>
      <c r="B24" s="34">
        <f>MAX(A24-1000, 0) - MAX(A24-1100, 0) - 35</f>
        <v/>
      </c>
      <c r="C24" s="34">
        <f>MAX(A24-1000, 0) + MAX(1000-A24, 0) - 105</f>
        <v/>
      </c>
      <c r="D24" s="34">
        <f>MAX(850-A24, 0) - MAX(900-A24, 0) - MAX(A24-1100, 0) + MAX(A24-1150, 0) + 23</f>
        <v/>
      </c>
    </row>
    <row r="25">
      <c r="A25" s="32" t="n">
        <v>1000</v>
      </c>
      <c r="B25" s="33">
        <f>MAX(A25-1000, 0) - MAX(A25-1100, 0) - 35</f>
        <v/>
      </c>
      <c r="C25" s="33">
        <f>MAX(A25-1000, 0) + MAX(1000-A25, 0) - 105</f>
        <v/>
      </c>
      <c r="D25" s="33">
        <f>MAX(850-A25, 0) - MAX(900-A25, 0) - MAX(A25-1100, 0) + MAX(A25-1150, 0) + 23</f>
        <v/>
      </c>
    </row>
    <row r="26">
      <c r="A26" s="28" t="n">
        <v>1025</v>
      </c>
      <c r="B26" s="34">
        <f>MAX(A26-1000, 0) - MAX(A26-1100, 0) - 35</f>
        <v/>
      </c>
      <c r="C26" s="34">
        <f>MAX(A26-1000, 0) + MAX(1000-A26, 0) - 105</f>
        <v/>
      </c>
      <c r="D26" s="34">
        <f>MAX(850-A26, 0) - MAX(900-A26, 0) - MAX(A26-1100, 0) + MAX(A26-1150, 0) + 23</f>
        <v/>
      </c>
    </row>
    <row r="27">
      <c r="A27" s="32" t="n">
        <v>1050</v>
      </c>
      <c r="B27" s="33">
        <f>MAX(A27-1000, 0) - MAX(A27-1100, 0) - 35</f>
        <v/>
      </c>
      <c r="C27" s="33">
        <f>MAX(A27-1000, 0) + MAX(1000-A27, 0) - 105</f>
        <v/>
      </c>
      <c r="D27" s="33">
        <f>MAX(850-A27, 0) - MAX(900-A27, 0) - MAX(A27-1100, 0) + MAX(A27-1150, 0) + 23</f>
        <v/>
      </c>
    </row>
    <row r="28">
      <c r="A28" s="28" t="n">
        <v>1075</v>
      </c>
      <c r="B28" s="34">
        <f>MAX(A28-1000, 0) - MAX(A28-1100, 0) - 35</f>
        <v/>
      </c>
      <c r="C28" s="34">
        <f>MAX(A28-1000, 0) + MAX(1000-A28, 0) - 105</f>
        <v/>
      </c>
      <c r="D28" s="34">
        <f>MAX(850-A28, 0) - MAX(900-A28, 0) - MAX(A28-1100, 0) + MAX(A28-1150, 0) + 23</f>
        <v/>
      </c>
    </row>
    <row r="29">
      <c r="A29" s="32" t="n">
        <v>1100</v>
      </c>
      <c r="B29" s="33">
        <f>MAX(A29-1000, 0) - MAX(A29-1100, 0) - 35</f>
        <v/>
      </c>
      <c r="C29" s="33">
        <f>MAX(A29-1000, 0) + MAX(1000-A29, 0) - 105</f>
        <v/>
      </c>
      <c r="D29" s="33">
        <f>MAX(850-A29, 0) - MAX(900-A29, 0) - MAX(A29-1100, 0) + MAX(A29-1150, 0) + 23</f>
        <v/>
      </c>
    </row>
    <row r="30">
      <c r="A30" s="28" t="n">
        <v>1125</v>
      </c>
      <c r="B30" s="34">
        <f>MAX(A30-1000, 0) - MAX(A30-1100, 0) - 35</f>
        <v/>
      </c>
      <c r="C30" s="34">
        <f>MAX(A30-1000, 0) + MAX(1000-A30, 0) - 105</f>
        <v/>
      </c>
      <c r="D30" s="34">
        <f>MAX(850-A30, 0) - MAX(900-A30, 0) - MAX(A30-1100, 0) + MAX(A30-1150, 0) + 23</f>
        <v/>
      </c>
    </row>
    <row r="31">
      <c r="A31" s="32" t="n">
        <v>1150</v>
      </c>
      <c r="B31" s="33">
        <f>MAX(A31-1000, 0) - MAX(A31-1100, 0) - 35</f>
        <v/>
      </c>
      <c r="C31" s="33">
        <f>MAX(A31-1000, 0) + MAX(1000-A31, 0) - 105</f>
        <v/>
      </c>
      <c r="D31" s="33">
        <f>MAX(850-A31, 0) - MAX(900-A31, 0) - MAX(A31-1100, 0) + MAX(A31-1150, 0) + 23</f>
        <v/>
      </c>
    </row>
    <row r="32">
      <c r="A32" s="28" t="n">
        <v>1175</v>
      </c>
      <c r="B32" s="34">
        <f>MAX(A32-1000, 0) - MAX(A32-1100, 0) - 35</f>
        <v/>
      </c>
      <c r="C32" s="34">
        <f>MAX(A32-1000, 0) + MAX(1000-A32, 0) - 105</f>
        <v/>
      </c>
      <c r="D32" s="34">
        <f>MAX(850-A32, 0) - MAX(900-A32, 0) - MAX(A32-1100, 0) + MAX(A32-1150, 0) + 23</f>
        <v/>
      </c>
    </row>
    <row r="33">
      <c r="A33" s="32" t="n">
        <v>1200</v>
      </c>
      <c r="B33" s="33">
        <f>MAX(A33-1000, 0) - MAX(A33-1100, 0) - 35</f>
        <v/>
      </c>
      <c r="C33" s="33">
        <f>MAX(A33-1000, 0) + MAX(1000-A33, 0) - 105</f>
        <v/>
      </c>
      <c r="D33" s="33">
        <f>MAX(850-A33, 0) - MAX(900-A33, 0) - MAX(A33-1100, 0) + MAX(A33-1150, 0) + 23</f>
        <v/>
      </c>
    </row>
    <row r="34">
      <c r="A34" s="28" t="n">
        <v>1225</v>
      </c>
      <c r="B34" s="34">
        <f>MAX(A34-1000, 0) - MAX(A34-1100, 0) - 35</f>
        <v/>
      </c>
      <c r="C34" s="34">
        <f>MAX(A34-1000, 0) + MAX(1000-A34, 0) - 105</f>
        <v/>
      </c>
      <c r="D34" s="34">
        <f>MAX(850-A34, 0) - MAX(900-A34, 0) - MAX(A34-1100, 0) + MAX(A34-1150, 0) + 23</f>
        <v/>
      </c>
    </row>
    <row r="35">
      <c r="A35" s="32" t="n">
        <v>1250</v>
      </c>
      <c r="B35" s="33">
        <f>MAX(A35-1000, 0) - MAX(A35-1100, 0) - 35</f>
        <v/>
      </c>
      <c r="C35" s="33">
        <f>MAX(A35-1000, 0) + MAX(1000-A35, 0) - 105</f>
        <v/>
      </c>
      <c r="D35" s="33">
        <f>MAX(850-A35, 0) - MAX(900-A35, 0) - MAX(A35-1100, 0) + MAX(A35-1150, 0) + 23</f>
        <v/>
      </c>
    </row>
    <row r="36">
      <c r="A36" s="28" t="n">
        <v>1275</v>
      </c>
      <c r="B36" s="34">
        <f>MAX(A36-1000, 0) - MAX(A36-1100, 0) - 35</f>
        <v/>
      </c>
      <c r="C36" s="34">
        <f>MAX(A36-1000, 0) + MAX(1000-A36, 0) - 105</f>
        <v/>
      </c>
      <c r="D36" s="34">
        <f>MAX(850-A36, 0) - MAX(900-A36, 0) - MAX(A36-1100, 0) + MAX(A36-1150, 0) + 23</f>
        <v/>
      </c>
    </row>
    <row r="37">
      <c r="A37" s="32" t="n">
        <v>1300</v>
      </c>
      <c r="B37" s="33">
        <f>MAX(A37-1000, 0) - MAX(A37-1100, 0) - 35</f>
        <v/>
      </c>
      <c r="C37" s="33">
        <f>MAX(A37-1000, 0) + MAX(1000-A37, 0) - 105</f>
        <v/>
      </c>
      <c r="D37" s="33">
        <f>MAX(850-A37, 0) - MAX(900-A37, 0) - MAX(A37-1100, 0) + MAX(A37-1150, 0) + 23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17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PAIRWISE CORRELATION HEATMAP (DAILY RETURNS)</t>
        </is>
      </c>
    </row>
    <row r="2">
      <c r="A2" s="2" t="inlineStr">
        <is>
          <t>Pearson correlation coefficients across 495 return observations (Aligned dates)</t>
        </is>
      </c>
    </row>
    <row r="3"/>
    <row r="4" ht="24" customHeight="1">
      <c r="A4" s="7" t="inlineStr">
        <is>
          <t>Asset</t>
        </is>
      </c>
      <c r="B4" s="7" t="inlineStr">
        <is>
          <t>Bharti Airtel</t>
        </is>
      </c>
      <c r="C4" s="7" t="inlineStr">
        <is>
          <t>HDFC Bank</t>
        </is>
      </c>
      <c r="D4" s="7" t="inlineStr">
        <is>
          <t>ICICI Bank</t>
        </is>
      </c>
      <c r="E4" s="7" t="inlineStr">
        <is>
          <t>Infosys</t>
        </is>
      </c>
      <c r="F4" s="7" t="inlineStr">
        <is>
          <t>ITC</t>
        </is>
      </c>
      <c r="G4" s="7" t="inlineStr">
        <is>
          <t>L&amp;T</t>
        </is>
      </c>
      <c r="H4" s="7" t="inlineStr">
        <is>
          <t>M&amp;M</t>
        </is>
      </c>
      <c r="I4" s="7" t="inlineStr">
        <is>
          <t>NTPC</t>
        </is>
      </c>
      <c r="J4" s="7" t="inlineStr">
        <is>
          <t>Reliance</t>
        </is>
      </c>
      <c r="K4" s="7" t="inlineStr">
        <is>
          <t>TCS</t>
        </is>
      </c>
      <c r="L4" s="7" t="inlineStr">
        <is>
          <t>NIFTY 50</t>
        </is>
      </c>
    </row>
    <row r="5">
      <c r="A5" s="35" t="inlineStr">
        <is>
          <t>Bharti Airtel</t>
        </is>
      </c>
      <c r="B5" s="36" t="n">
        <v>1</v>
      </c>
      <c r="C5" s="37" t="n">
        <v>0.2647</v>
      </c>
      <c r="D5" s="37" t="n">
        <v>0.2631</v>
      </c>
      <c r="E5" s="37" t="n">
        <v>0.1781</v>
      </c>
      <c r="F5" s="37" t="n">
        <v>0.2716</v>
      </c>
      <c r="G5" s="37" t="n">
        <v>0.2451</v>
      </c>
      <c r="H5" s="37" t="n">
        <v>0.3198</v>
      </c>
      <c r="I5" s="37" t="n">
        <v>0.1857</v>
      </c>
      <c r="J5" s="37" t="n">
        <v>0.3188</v>
      </c>
      <c r="K5" s="37" t="n">
        <v>0.1601</v>
      </c>
      <c r="L5" s="37" t="n">
        <v>0.4881</v>
      </c>
    </row>
    <row r="6">
      <c r="A6" s="35" t="inlineStr">
        <is>
          <t>HDFC Bank</t>
        </is>
      </c>
      <c r="B6" s="37" t="n">
        <v>0.2647</v>
      </c>
      <c r="C6" s="36" t="n">
        <v>1</v>
      </c>
      <c r="D6" s="37" t="n">
        <v>0.5038</v>
      </c>
      <c r="E6" s="37" t="n">
        <v>0.2057</v>
      </c>
      <c r="F6" s="37" t="n">
        <v>0.2534</v>
      </c>
      <c r="G6" s="37" t="n">
        <v>0.4593</v>
      </c>
      <c r="H6" s="37" t="n">
        <v>0.4084</v>
      </c>
      <c r="I6" s="37" t="n">
        <v>0.2325</v>
      </c>
      <c r="J6" s="37" t="n">
        <v>0.3887</v>
      </c>
      <c r="K6" s="37" t="n">
        <v>0.1933</v>
      </c>
      <c r="L6" s="38" t="n">
        <v>0.7091</v>
      </c>
    </row>
    <row r="7">
      <c r="A7" s="35" t="inlineStr">
        <is>
          <t>ICICI Bank</t>
        </is>
      </c>
      <c r="B7" s="37" t="n">
        <v>0.2631</v>
      </c>
      <c r="C7" s="37" t="n">
        <v>0.5038</v>
      </c>
      <c r="D7" s="36" t="n">
        <v>1</v>
      </c>
      <c r="E7" s="39" t="n">
        <v>0.1282</v>
      </c>
      <c r="F7" s="37" t="n">
        <v>0.2119</v>
      </c>
      <c r="G7" s="37" t="n">
        <v>0.4008</v>
      </c>
      <c r="H7" s="37" t="n">
        <v>0.4117</v>
      </c>
      <c r="I7" s="37" t="n">
        <v>0.273</v>
      </c>
      <c r="J7" s="37" t="n">
        <v>0.2773</v>
      </c>
      <c r="K7" s="37" t="n">
        <v>0.172</v>
      </c>
      <c r="L7" s="38" t="n">
        <v>0.6356000000000001</v>
      </c>
    </row>
    <row r="8">
      <c r="A8" s="35" t="inlineStr">
        <is>
          <t>Infosys</t>
        </is>
      </c>
      <c r="B8" s="37" t="n">
        <v>0.1781</v>
      </c>
      <c r="C8" s="37" t="n">
        <v>0.2057</v>
      </c>
      <c r="D8" s="39" t="n">
        <v>0.1282</v>
      </c>
      <c r="E8" s="36" t="n">
        <v>1</v>
      </c>
      <c r="F8" s="39" t="n">
        <v>0.1093</v>
      </c>
      <c r="G8" s="37" t="n">
        <v>0.2156</v>
      </c>
      <c r="H8" s="37" t="n">
        <v>0.2288</v>
      </c>
      <c r="I8" s="39" t="n">
        <v>0.0465</v>
      </c>
      <c r="J8" s="37" t="n">
        <v>0.1923</v>
      </c>
      <c r="K8" s="38" t="n">
        <v>0.7448</v>
      </c>
      <c r="L8" s="37" t="n">
        <v>0.417</v>
      </c>
    </row>
    <row r="9">
      <c r="A9" s="35" t="inlineStr">
        <is>
          <t>ITC</t>
        </is>
      </c>
      <c r="B9" s="37" t="n">
        <v>0.2716</v>
      </c>
      <c r="C9" s="37" t="n">
        <v>0.2534</v>
      </c>
      <c r="D9" s="37" t="n">
        <v>0.2119</v>
      </c>
      <c r="E9" s="39" t="n">
        <v>0.1093</v>
      </c>
      <c r="F9" s="36" t="n">
        <v>1</v>
      </c>
      <c r="G9" s="37" t="n">
        <v>0.2657</v>
      </c>
      <c r="H9" s="37" t="n">
        <v>0.2552</v>
      </c>
      <c r="I9" s="37" t="n">
        <v>0.1798</v>
      </c>
      <c r="J9" s="37" t="n">
        <v>0.3222</v>
      </c>
      <c r="K9" s="37" t="n">
        <v>0.1962</v>
      </c>
      <c r="L9" s="37" t="n">
        <v>0.4426</v>
      </c>
    </row>
    <row r="10">
      <c r="A10" s="35" t="inlineStr">
        <is>
          <t>L&amp;T</t>
        </is>
      </c>
      <c r="B10" s="37" t="n">
        <v>0.2451</v>
      </c>
      <c r="C10" s="37" t="n">
        <v>0.4593</v>
      </c>
      <c r="D10" s="37" t="n">
        <v>0.4008</v>
      </c>
      <c r="E10" s="37" t="n">
        <v>0.2156</v>
      </c>
      <c r="F10" s="37" t="n">
        <v>0.2657</v>
      </c>
      <c r="G10" s="36" t="n">
        <v>1</v>
      </c>
      <c r="H10" s="37" t="n">
        <v>0.3932</v>
      </c>
      <c r="I10" s="37" t="n">
        <v>0.4249</v>
      </c>
      <c r="J10" s="37" t="n">
        <v>0.4431</v>
      </c>
      <c r="K10" s="37" t="n">
        <v>0.2582</v>
      </c>
      <c r="L10" s="38" t="n">
        <v>0.6988</v>
      </c>
    </row>
    <row r="11">
      <c r="A11" s="35" t="inlineStr">
        <is>
          <t>M&amp;M</t>
        </is>
      </c>
      <c r="B11" s="37" t="n">
        <v>0.3198</v>
      </c>
      <c r="C11" s="37" t="n">
        <v>0.4084</v>
      </c>
      <c r="D11" s="37" t="n">
        <v>0.4117</v>
      </c>
      <c r="E11" s="37" t="n">
        <v>0.2288</v>
      </c>
      <c r="F11" s="37" t="n">
        <v>0.2552</v>
      </c>
      <c r="G11" s="37" t="n">
        <v>0.3932</v>
      </c>
      <c r="H11" s="36" t="n">
        <v>1</v>
      </c>
      <c r="I11" s="37" t="n">
        <v>0.2577</v>
      </c>
      <c r="J11" s="37" t="n">
        <v>0.3577</v>
      </c>
      <c r="K11" s="37" t="n">
        <v>0.2333</v>
      </c>
      <c r="L11" s="38" t="n">
        <v>0.6492</v>
      </c>
    </row>
    <row r="12">
      <c r="A12" s="35" t="inlineStr">
        <is>
          <t>NTPC</t>
        </is>
      </c>
      <c r="B12" s="37" t="n">
        <v>0.1857</v>
      </c>
      <c r="C12" s="37" t="n">
        <v>0.2325</v>
      </c>
      <c r="D12" s="37" t="n">
        <v>0.273</v>
      </c>
      <c r="E12" s="39" t="n">
        <v>0.0465</v>
      </c>
      <c r="F12" s="37" t="n">
        <v>0.1798</v>
      </c>
      <c r="G12" s="37" t="n">
        <v>0.4249</v>
      </c>
      <c r="H12" s="37" t="n">
        <v>0.2577</v>
      </c>
      <c r="I12" s="36" t="n">
        <v>1</v>
      </c>
      <c r="J12" s="37" t="n">
        <v>0.3715</v>
      </c>
      <c r="K12" s="39" t="n">
        <v>0.065</v>
      </c>
      <c r="L12" s="37" t="n">
        <v>0.4912</v>
      </c>
    </row>
    <row r="13">
      <c r="A13" s="35" t="inlineStr">
        <is>
          <t>Reliance</t>
        </is>
      </c>
      <c r="B13" s="37" t="n">
        <v>0.3188</v>
      </c>
      <c r="C13" s="37" t="n">
        <v>0.3887</v>
      </c>
      <c r="D13" s="37" t="n">
        <v>0.2773</v>
      </c>
      <c r="E13" s="37" t="n">
        <v>0.1923</v>
      </c>
      <c r="F13" s="37" t="n">
        <v>0.3222</v>
      </c>
      <c r="G13" s="37" t="n">
        <v>0.4431</v>
      </c>
      <c r="H13" s="37" t="n">
        <v>0.3577</v>
      </c>
      <c r="I13" s="37" t="n">
        <v>0.3715</v>
      </c>
      <c r="J13" s="36" t="n">
        <v>1</v>
      </c>
      <c r="K13" s="37" t="n">
        <v>0.2427</v>
      </c>
      <c r="L13" s="38" t="n">
        <v>0.6567</v>
      </c>
    </row>
    <row r="14">
      <c r="A14" s="35" t="inlineStr">
        <is>
          <t>TCS</t>
        </is>
      </c>
      <c r="B14" s="37" t="n">
        <v>0.1601</v>
      </c>
      <c r="C14" s="37" t="n">
        <v>0.1933</v>
      </c>
      <c r="D14" s="37" t="n">
        <v>0.172</v>
      </c>
      <c r="E14" s="38" t="n">
        <v>0.7448</v>
      </c>
      <c r="F14" s="37" t="n">
        <v>0.1962</v>
      </c>
      <c r="G14" s="37" t="n">
        <v>0.2582</v>
      </c>
      <c r="H14" s="37" t="n">
        <v>0.2333</v>
      </c>
      <c r="I14" s="39" t="n">
        <v>0.065</v>
      </c>
      <c r="J14" s="37" t="n">
        <v>0.2427</v>
      </c>
      <c r="K14" s="36" t="n">
        <v>1</v>
      </c>
      <c r="L14" s="37" t="n">
        <v>0.4399</v>
      </c>
    </row>
    <row r="15">
      <c r="A15" s="35" t="inlineStr">
        <is>
          <t>NIFTY 50</t>
        </is>
      </c>
      <c r="B15" s="37" t="n">
        <v>0.4881</v>
      </c>
      <c r="C15" s="38" t="n">
        <v>0.7091</v>
      </c>
      <c r="D15" s="38" t="n">
        <v>0.6356000000000001</v>
      </c>
      <c r="E15" s="37" t="n">
        <v>0.417</v>
      </c>
      <c r="F15" s="37" t="n">
        <v>0.4426</v>
      </c>
      <c r="G15" s="38" t="n">
        <v>0.6988</v>
      </c>
      <c r="H15" s="38" t="n">
        <v>0.6492</v>
      </c>
      <c r="I15" s="37" t="n">
        <v>0.4912</v>
      </c>
      <c r="J15" s="38" t="n">
        <v>0.6567</v>
      </c>
      <c r="K15" s="37" t="n">
        <v>0.4399</v>
      </c>
      <c r="L15" s="36" t="n">
        <v>1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2026-10-10T18:29:03Z</dcterms:created>
  <dcterms:modified xsi:type="dcterms:W3CDTF">2026-10-10T18:29:03Z</dcterms:modified>
</cp:coreProperties>
</file>